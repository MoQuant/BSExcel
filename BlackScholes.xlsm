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qua\OneDrive\Desktop\"/>
    </mc:Choice>
  </mc:AlternateContent>
  <xr:revisionPtr revIDLastSave="0" documentId="13_ncr:1_{A8C7ED49-C07A-4F0A-8E0B-40E999E2ABE6}" xr6:coauthVersionLast="47" xr6:coauthVersionMax="47" xr10:uidLastSave="{00000000-0000-0000-0000-000000000000}"/>
  <bookViews>
    <workbookView xWindow="-120" yWindow="-120" windowWidth="29040" windowHeight="15720" xr2:uid="{80CB2984-FA53-4F44-BDBF-8B265192C6F7}"/>
  </bookViews>
  <sheets>
    <sheet name="B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/>
  <c r="F6" i="1" a="1"/>
  <c r="F5" i="1" a="1"/>
  <c r="F4" i="1" a="1"/>
  <c r="F3" i="1" a="1"/>
  <c r="F2" i="1" a="1"/>
  <c r="F6" i="1" l="1"/>
  <c r="R2" i="1" s="1"/>
  <c r="F5" i="1"/>
  <c r="I22" i="1" s="1"/>
  <c r="F4" i="1"/>
  <c r="I12" i="1" s="1"/>
  <c r="F3" i="1"/>
  <c r="I2" i="1" s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<sst xmlns="http://schemas.openxmlformats.org/spreadsheetml/2006/main" count="17" uniqueCount="16">
  <si>
    <t>Stock Price</t>
  </si>
  <si>
    <t>Strike Price</t>
  </si>
  <si>
    <t>Risk-Free Rate</t>
  </si>
  <si>
    <t>Dividend-Yield</t>
  </si>
  <si>
    <t>Volatility</t>
  </si>
  <si>
    <t>Expiration</t>
  </si>
  <si>
    <t>OptionType</t>
  </si>
  <si>
    <t>Option Price</t>
  </si>
  <si>
    <t>Delta</t>
  </si>
  <si>
    <t>Gamma</t>
  </si>
  <si>
    <t>Theta</t>
  </si>
  <si>
    <t>Vega</t>
  </si>
  <si>
    <t>Black Scholes Equations</t>
  </si>
  <si>
    <t>Call</t>
  </si>
  <si>
    <t>Put</t>
  </si>
  <si>
    <t>Source: https://www.macroption.com/black-scholes-formula/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</si>
</sst>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0">
    <xf numFmtId="0" fontId="0" fillId="0" borderId="0" xfId="0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 applyAlignment="1">
      <alignment vertical="top"/>
    </xf>
    <xf numFmtId="0" fontId="3" fillId="4" borderId="2" xfId="0" applyFont="1" applyFill="1" applyBorder="1" applyAlignment="1">
      <alignment horizontal="center"/>
    </xf>
    <xf numFmtId="9" fontId="3" fillId="4" borderId="2" xfId="0" applyNumberFormat="1" applyFont="1" applyFill="1" applyBorder="1" applyAlignment="1">
      <alignment horizontal="center"/>
    </xf>
    <xf numFmtId="0" fontId="1" fillId="2" borderId="1" xfId="1"/>
    <xf numFmtId="0" fontId="0" fillId="3" borderId="0" xfId="0" applyFill="1"/>
    <xf numFmtId="0" fontId="6" fillId="3" borderId="0" xfId="0" applyFont="1" applyFill="1"/>
    <xf numFmtId="0" fontId="2" fillId="3" borderId="0" xfId="0" applyFont="1" applyFill="1"/>
  </cellXfs>
  <cellStyles count="2">
    <cellStyle name="Calculation" xfId="1" builtinId="22"/>
    <cellStyle name="Normal" xfId="0" builtinId="0"/>
  </cellStyles>
  <dxfs count="0"/>
  <tableStyles count="0" defaultTableStyle="TableStyleMedium2" defaultPivotStyle="PivotStyleLight16"/>
  <colors>
    <mruColors>
      <color rgb="FFFFE1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Delta Surface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BS!$J$3:$P$3</c:f>
              <c:numCache>
                <c:formatCode>General</c:formatCode>
                <c:ptCount val="7"/>
                <c:pt idx="0">
                  <c:v>0.99831110369858356</c:v>
                </c:pt>
                <c:pt idx="1">
                  <c:v>0.98855842274730443</c:v>
                </c:pt>
                <c:pt idx="2">
                  <c:v>0.78480581875653377</c:v>
                </c:pt>
                <c:pt idx="3">
                  <c:v>0.27586815482239363</c:v>
                </c:pt>
                <c:pt idx="4">
                  <c:v>3.1793243810101492E-2</c:v>
                </c:pt>
                <c:pt idx="5">
                  <c:v>1.3053718840603011E-3</c:v>
                </c:pt>
                <c:pt idx="6">
                  <c:v>2.2860650191011421E-5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F0-461F-95C7-092AAE2B8EA6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BS!$J$4:$P$4</c:f>
              <c:numCache>
                <c:formatCode>General</c:formatCode>
                <c:ptCount val="7"/>
                <c:pt idx="0">
                  <c:v>0.99501028409055814</c:v>
                </c:pt>
                <c:pt idx="1">
                  <c:v>0.95306497211383701</c:v>
                </c:pt>
                <c:pt idx="2">
                  <c:v>0.72957959664593475</c:v>
                </c:pt>
                <c:pt idx="3">
                  <c:v>0.3575966529679746</c:v>
                </c:pt>
                <c:pt idx="4">
                  <c:v>0.10474746913843055</c:v>
                </c:pt>
                <c:pt idx="5">
                  <c:v>1.9162163789031985E-2</c:v>
                </c:pt>
                <c:pt idx="6">
                  <c:v>2.3630725653247899E-3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F0-461F-95C7-092AAE2B8EA6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BS!$J$5:$P$5</c:f>
              <c:numCache>
                <c:formatCode>General</c:formatCode>
                <c:ptCount val="7"/>
                <c:pt idx="0">
                  <c:v>0.98778511908510791</c:v>
                </c:pt>
                <c:pt idx="1">
                  <c:v>0.92082500242196619</c:v>
                </c:pt>
                <c:pt idx="2">
                  <c:v>0.70627546769896665</c:v>
                </c:pt>
                <c:pt idx="3">
                  <c:v>0.40013066845534767</c:v>
                </c:pt>
                <c:pt idx="4">
                  <c:v>0.16381136017972198</c:v>
                </c:pt>
                <c:pt idx="5">
                  <c:v>4.9977336766082306E-2</c:v>
                </c:pt>
                <c:pt idx="6">
                  <c:v>1.1902674305060035E-2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F0-461F-95C7-092AAE2B8EA6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BS!$J$6:$P$6</c:f>
              <c:numCache>
                <c:formatCode>General</c:formatCode>
                <c:ptCount val="7"/>
                <c:pt idx="0">
                  <c:v>0.9779813872283255</c:v>
                </c:pt>
                <c:pt idx="1">
                  <c:v>0.89557257557134684</c:v>
                </c:pt>
                <c:pt idx="2">
                  <c:v>0.69379788645704943</c:v>
                </c:pt>
                <c:pt idx="3">
                  <c:v>0.42827107972084233</c:v>
                </c:pt>
                <c:pt idx="4">
                  <c:v>0.20936898351359434</c:v>
                </c:pt>
                <c:pt idx="5">
                  <c:v>8.3016709951501524E-2</c:v>
                </c:pt>
                <c:pt idx="6">
                  <c:v>2.7584653290930704E-2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F0-461F-95C7-092AAE2B8EA6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BS!$J$7:$P$7</c:f>
              <c:numCache>
                <c:formatCode>General</c:formatCode>
                <c:ptCount val="7"/>
                <c:pt idx="0">
                  <c:v>0.96729474139028737</c:v>
                </c:pt>
                <c:pt idx="1">
                  <c:v>0.87585562847204812</c:v>
                </c:pt>
                <c:pt idx="2">
                  <c:v>0.68635923922239173</c:v>
                </c:pt>
                <c:pt idx="3">
                  <c:v>0.44912695152185295</c:v>
                </c:pt>
                <c:pt idx="4">
                  <c:v>0.24553120355446531</c:v>
                </c:pt>
                <c:pt idx="5">
                  <c:v>0.11434535941518521</c:v>
                </c:pt>
                <c:pt idx="6">
                  <c:v>4.650798280629348E-2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F0-461F-95C7-092AAE2B8EA6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BS!$J$8:$P$8</c:f>
              <c:numCache>
                <c:formatCode>General</c:formatCode>
                <c:ptCount val="7"/>
                <c:pt idx="0">
                  <c:v>0.95667800499896471</c:v>
                </c:pt>
                <c:pt idx="1">
                  <c:v>0.8601836919994218</c:v>
                </c:pt>
                <c:pt idx="2">
                  <c:v>0.68167769333225969</c:v>
                </c:pt>
                <c:pt idx="3">
                  <c:v>0.46563711631275606</c:v>
                </c:pt>
                <c:pt idx="4">
                  <c:v>0.27513612342033783</c:v>
                </c:pt>
                <c:pt idx="5">
                  <c:v>0.14296154267774872</c:v>
                </c:pt>
                <c:pt idx="6">
                  <c:v>6.6641112633352734E-2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F0-461F-95C7-092AAE2B8EA6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BS!$J$9:$P$9</c:f>
              <c:numCache>
                <c:formatCode>General</c:formatCode>
                <c:ptCount val="7"/>
                <c:pt idx="0">
                  <c:v>0.94656783566277902</c:v>
                </c:pt>
                <c:pt idx="1">
                  <c:v>0.84747972606344679</c:v>
                </c:pt>
                <c:pt idx="2">
                  <c:v>0.67866119382120904</c:v>
                </c:pt>
                <c:pt idx="3">
                  <c:v>0.47927814613785269</c:v>
                </c:pt>
                <c:pt idx="4">
                  <c:v>0.30000304433401498</c:v>
                </c:pt>
                <c:pt idx="5">
                  <c:v>0.16882568726241617</c:v>
                </c:pt>
                <c:pt idx="6">
                  <c:v>8.6842041874645962E-2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F0-461F-95C7-092AAE2B8EA6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33565104"/>
        <c:axId val="1911492368"/>
        <c:axId val="1914638768"/>
      </c:surface3DChart>
      <c:catAx>
        <c:axId val="33565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1492368"/>
        <c:crosses val="autoZero"/>
        <c:auto val="1"/>
        <c:lblAlgn val="ctr"/>
        <c:lblOffset val="100"/>
        <c:noMultiLvlLbl val="0"/>
      </c:catAx>
      <c:valAx>
        <c:axId val="191149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65104"/>
        <c:crosses val="autoZero"/>
        <c:crossBetween val="midCat"/>
      </c:valAx>
      <c:serAx>
        <c:axId val="19146387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1492368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Gamma Surface</a:t>
            </a:r>
          </a:p>
        </c:rich>
      </c:tx>
      <c:layout>
        <c:manualLayout>
          <c:xMode val="edge"/>
          <c:yMode val="edge"/>
          <c:x val="0.3291456692913385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BS!$J$13:$P$13</c:f>
              <c:numCache>
                <c:formatCode>General</c:formatCode>
                <c:ptCount val="7"/>
                <c:pt idx="0">
                  <c:v>1.4042484459520557E-5</c:v>
                </c:pt>
                <c:pt idx="1">
                  <c:v>3.6200252095563369E-3</c:v>
                </c:pt>
                <c:pt idx="2">
                  <c:v>4.0297629739201306E-2</c:v>
                </c:pt>
                <c:pt idx="3">
                  <c:v>4.626741343500846E-2</c:v>
                </c:pt>
                <c:pt idx="4">
                  <c:v>9.8894186958189256E-3</c:v>
                </c:pt>
                <c:pt idx="5">
                  <c:v>5.9546931555828659E-4</c:v>
                </c:pt>
                <c:pt idx="6">
                  <c:v>1.3615272534824951E-5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61-4354-B5D9-B625F212B9AE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BS!$J$14:$P$14</c:f>
              <c:numCache>
                <c:formatCode>General</c:formatCode>
                <c:ptCount val="7"/>
                <c:pt idx="0">
                  <c:v>5.2478544228135352E-4</c:v>
                </c:pt>
                <c:pt idx="1">
                  <c:v>9.048976661107799E-3</c:v>
                </c:pt>
                <c:pt idx="2">
                  <c:v>3.2167483663835844E-2</c:v>
                </c:pt>
                <c:pt idx="3">
                  <c:v>3.6491388950781183E-2</c:v>
                </c:pt>
                <c:pt idx="4">
                  <c:v>1.7768797341868949E-2</c:v>
                </c:pt>
                <c:pt idx="5">
                  <c:v>4.5723901869498722E-3</c:v>
                </c:pt>
                <c:pt idx="6">
                  <c:v>7.224009368039391E-4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61-4354-B5D9-B625F212B9AE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BS!$J$15:$P$15</c:f>
              <c:numCache>
                <c:formatCode>General</c:formatCode>
                <c:ptCount val="7"/>
                <c:pt idx="0">
                  <c:v>1.6025982525058671E-3</c:v>
                </c:pt>
                <c:pt idx="1">
                  <c:v>1.1217404199935475E-2</c:v>
                </c:pt>
                <c:pt idx="2">
                  <c:v>2.7255860311631089E-2</c:v>
                </c:pt>
                <c:pt idx="3">
                  <c:v>3.0795864139951439E-2</c:v>
                </c:pt>
                <c:pt idx="4">
                  <c:v>1.9731074398288785E-2</c:v>
                </c:pt>
                <c:pt idx="5">
                  <c:v>8.2395126782850003E-3</c:v>
                </c:pt>
                <c:pt idx="6">
                  <c:v>2.4794721300868544E-3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61-4354-B5D9-B625F212B9AE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BS!$J$16:$P$16</c:f>
              <c:numCache>
                <c:formatCode>General</c:formatCode>
                <c:ptCount val="7"/>
                <c:pt idx="0">
                  <c:v>2.6773351171252456E-3</c:v>
                </c:pt>
                <c:pt idx="1">
                  <c:v>1.1939755856985153E-2</c:v>
                </c:pt>
                <c:pt idx="2">
                  <c:v>2.3984900674524964E-2</c:v>
                </c:pt>
                <c:pt idx="3">
                  <c:v>2.7045811836394092E-2</c:v>
                </c:pt>
                <c:pt idx="4">
                  <c:v>1.9877131498724481E-2</c:v>
                </c:pt>
                <c:pt idx="5">
                  <c:v>1.0573950528882457E-2</c:v>
                </c:pt>
                <c:pt idx="6">
                  <c:v>4.3914336263174971E-3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61-4354-B5D9-B625F212B9AE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BS!$J$17:$P$17</c:f>
              <c:numCache>
                <c:formatCode>General</c:formatCode>
                <c:ptCount val="7"/>
                <c:pt idx="0">
                  <c:v>3.5446938752386166E-3</c:v>
                </c:pt>
                <c:pt idx="1">
                  <c:v>1.2061642483404616E-2</c:v>
                </c:pt>
                <c:pt idx="2">
                  <c:v>2.1615928777342207E-2</c:v>
                </c:pt>
                <c:pt idx="3">
                  <c:v>2.4345223012749058E-2</c:v>
                </c:pt>
                <c:pt idx="4">
                  <c:v>1.9427846145938947E-2</c:v>
                </c:pt>
                <c:pt idx="5">
                  <c:v>1.1950549678054898E-2</c:v>
                </c:pt>
                <c:pt idx="6">
                  <c:v>6.0214867759576527E-3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61-4354-B5D9-B625F212B9AE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BS!$J$18:$P$18</c:f>
              <c:numCache>
                <c:formatCode>General</c:formatCode>
                <c:ptCount val="7"/>
                <c:pt idx="0">
                  <c:v>4.1957625596843748E-3</c:v>
                </c:pt>
                <c:pt idx="1">
                  <c:v>1.1921437409831148E-2</c:v>
                </c:pt>
                <c:pt idx="2">
                  <c:v>1.9799127534220372E-2</c:v>
                </c:pt>
                <c:pt idx="3">
                  <c:v>2.2281157506555242E-2</c:v>
                </c:pt>
                <c:pt idx="4">
                  <c:v>1.8783944085141752E-2</c:v>
                </c:pt>
                <c:pt idx="5">
                  <c:v>1.2729258947525843E-2</c:v>
                </c:pt>
                <c:pt idx="6">
                  <c:v>7.2959779752628275E-3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61-4354-B5D9-B625F212B9AE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BS!$J$19:$P$19</c:f>
              <c:numCache>
                <c:formatCode>General</c:formatCode>
                <c:ptCount val="7"/>
                <c:pt idx="0">
                  <c:v>4.6698019532069599E-3</c:v>
                </c:pt>
                <c:pt idx="1">
                  <c:v>1.166488522834087E-2</c:v>
                </c:pt>
                <c:pt idx="2">
                  <c:v>1.834808501484023E-2</c:v>
                </c:pt>
                <c:pt idx="3">
                  <c:v>2.0636391239181557E-2</c:v>
                </c:pt>
                <c:pt idx="4">
                  <c:v>1.8092977109670585E-2</c:v>
                </c:pt>
                <c:pt idx="5">
                  <c:v>1.3139060212032269E-2</c:v>
                </c:pt>
                <c:pt idx="6">
                  <c:v>8.2569445032735136E-3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61-4354-B5D9-B625F212B9AE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33567504"/>
        <c:axId val="33567984"/>
        <c:axId val="1914639328"/>
      </c:surface3DChart>
      <c:catAx>
        <c:axId val="335675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67984"/>
        <c:crosses val="autoZero"/>
        <c:auto val="1"/>
        <c:lblAlgn val="ctr"/>
        <c:lblOffset val="100"/>
        <c:noMultiLvlLbl val="0"/>
      </c:catAx>
      <c:valAx>
        <c:axId val="335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67504"/>
        <c:crosses val="autoZero"/>
        <c:crossBetween val="midCat"/>
      </c:valAx>
      <c:serAx>
        <c:axId val="19146393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67984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Theta Surface</a:t>
            </a:r>
          </a:p>
        </c:rich>
      </c:tx>
      <c:layout>
        <c:manualLayout>
          <c:xMode val="edge"/>
          <c:yMode val="edge"/>
          <c:x val="0.34749300087489066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BS!$J$23:$P$23</c:f>
              <c:numCache>
                <c:formatCode>General</c:formatCode>
                <c:ptCount val="7"/>
                <c:pt idx="0">
                  <c:v>-9.86181828699478E-3</c:v>
                </c:pt>
                <c:pt idx="1">
                  <c:v>-1.6541994833247444E-2</c:v>
                </c:pt>
                <c:pt idx="2">
                  <c:v>-6.094959851283982E-2</c:v>
                </c:pt>
                <c:pt idx="3">
                  <c:v>-6.1472340183048764E-2</c:v>
                </c:pt>
                <c:pt idx="4">
                  <c:v>-1.2747516074190328E-2</c:v>
                </c:pt>
                <c:pt idx="5">
                  <c:v>-7.585278577647228E-4</c:v>
                </c:pt>
                <c:pt idx="6">
                  <c:v>-1.7238293531352938E-5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4-4F33-9917-B9500C45AB15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BS!$J$24:$P$24</c:f>
              <c:numCache>
                <c:formatCode>General</c:formatCode>
                <c:ptCount val="7"/>
                <c:pt idx="0">
                  <c:v>-1.0392565100588679E-2</c:v>
                </c:pt>
                <c:pt idx="1">
                  <c:v>-2.2610850719344766E-2</c:v>
                </c:pt>
                <c:pt idx="2">
                  <c:v>-4.9716866290726976E-2</c:v>
                </c:pt>
                <c:pt idx="3">
                  <c:v>-5.0369485389497828E-2</c:v>
                </c:pt>
                <c:pt idx="4">
                  <c:v>-2.3580641907029971E-2</c:v>
                </c:pt>
                <c:pt idx="5">
                  <c:v>-5.9578364477650882E-3</c:v>
                </c:pt>
                <c:pt idx="6">
                  <c:v>-9.316905518502828E-4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14-4F33-9917-B9500C45AB15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BS!$J$25:$P$25</c:f>
              <c:numCache>
                <c:formatCode>General</c:formatCode>
                <c:ptCount val="7"/>
                <c:pt idx="0">
                  <c:v>-1.155966106852402E-2</c:v>
                </c:pt>
                <c:pt idx="1">
                  <c:v>-2.4668852017392377E-2</c:v>
                </c:pt>
                <c:pt idx="2">
                  <c:v>-4.3025576280561521E-2</c:v>
                </c:pt>
                <c:pt idx="3">
                  <c:v>-4.374769559900589E-2</c:v>
                </c:pt>
                <c:pt idx="4">
                  <c:v>-2.6823871479618889E-2</c:v>
                </c:pt>
                <c:pt idx="5">
                  <c:v>-1.0951532942051746E-2</c:v>
                </c:pt>
                <c:pt idx="6">
                  <c:v>-3.2519008254526661E-3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14-4F33-9917-B9500C45AB15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BS!$J$26:$P$26</c:f>
              <c:numCache>
                <c:formatCode>General</c:formatCode>
                <c:ptCount val="7"/>
                <c:pt idx="0">
                  <c:v>-1.2676118551404729E-2</c:v>
                </c:pt>
                <c:pt idx="1">
                  <c:v>-2.5039108807340178E-2</c:v>
                </c:pt>
                <c:pt idx="2">
                  <c:v>-3.8567943262479684E-2</c:v>
                </c:pt>
                <c:pt idx="3">
                  <c:v>-3.9336945077610569E-2</c:v>
                </c:pt>
                <c:pt idx="4">
                  <c:v>-2.7591521141395372E-2</c:v>
                </c:pt>
                <c:pt idx="5">
                  <c:v>-1.4307089384455287E-2</c:v>
                </c:pt>
                <c:pt idx="6">
                  <c:v>-5.848993439768504E-3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14-4F33-9917-B9500C45AB15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BS!$J$27:$P$27</c:f>
              <c:numCache>
                <c:formatCode>General</c:formatCode>
                <c:ptCount val="7"/>
                <c:pt idx="0">
                  <c:v>-1.351647977221275E-2</c:v>
                </c:pt>
                <c:pt idx="1">
                  <c:v>-2.4752647233111259E-2</c:v>
                </c:pt>
                <c:pt idx="2">
                  <c:v>-3.5327801064087505E-2</c:v>
                </c:pt>
                <c:pt idx="3">
                  <c:v>-3.6130756826192385E-2</c:v>
                </c:pt>
                <c:pt idx="4">
                  <c:v>-2.7470502628736352E-2</c:v>
                </c:pt>
                <c:pt idx="5">
                  <c:v>-1.6434199190889991E-2</c:v>
                </c:pt>
                <c:pt idx="6">
                  <c:v>-8.1356227015269931E-3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14-4F33-9917-B9500C45AB15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BS!$J$28:$P$28</c:f>
              <c:numCache>
                <c:formatCode>General</c:formatCode>
                <c:ptCount val="7"/>
                <c:pt idx="0">
                  <c:v>-1.4086228477959947E-2</c:v>
                </c:pt>
                <c:pt idx="1">
                  <c:v>-2.4207557215666566E-2</c:v>
                </c:pt>
                <c:pt idx="2">
                  <c:v>-3.2830363816882299E-2</c:v>
                </c:pt>
                <c:pt idx="3">
                  <c:v>-3.3658986872902474E-2</c:v>
                </c:pt>
                <c:pt idx="4">
                  <c:v>-2.7005656907201785E-2</c:v>
                </c:pt>
                <c:pt idx="5">
                  <c:v>-1.7768318896893013E-2</c:v>
                </c:pt>
                <c:pt idx="6">
                  <c:v>-9.9901741125856865E-3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814-4F33-9917-B9500C45AB15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BS!$J$29:$P$29</c:f>
              <c:numCache>
                <c:formatCode>General</c:formatCode>
                <c:ptCount val="7"/>
                <c:pt idx="0">
                  <c:v>-1.4442198298524734E-2</c:v>
                </c:pt>
                <c:pt idx="1">
                  <c:v>-2.3568302317486561E-2</c:v>
                </c:pt>
                <c:pt idx="2">
                  <c:v>-3.0824107422299764E-2</c:v>
                </c:pt>
                <c:pt idx="3">
                  <c:v>-3.1672707838844578E-2</c:v>
                </c:pt>
                <c:pt idx="4">
                  <c:v>-2.6409946949550248E-2</c:v>
                </c:pt>
                <c:pt idx="5">
                  <c:v>-1.8595968638936151E-2</c:v>
                </c:pt>
                <c:pt idx="6">
                  <c:v>-1.1448750527918447E-2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814-4F33-9917-B9500C45AB15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20259472"/>
        <c:axId val="120257072"/>
        <c:axId val="1911495680"/>
      </c:surface3DChart>
      <c:catAx>
        <c:axId val="12025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257072"/>
        <c:crosses val="autoZero"/>
        <c:auto val="1"/>
        <c:lblAlgn val="ctr"/>
        <c:lblOffset val="100"/>
        <c:noMultiLvlLbl val="0"/>
      </c:catAx>
      <c:valAx>
        <c:axId val="12025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259472"/>
        <c:crosses val="autoZero"/>
        <c:crossBetween val="midCat"/>
      </c:valAx>
      <c:serAx>
        <c:axId val="19114956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257072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Vega Surface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BS!$S$3:$Y$3</c:f>
              <c:numCache>
                <c:formatCode>General</c:formatCode>
                <c:ptCount val="7"/>
                <c:pt idx="0">
                  <c:v>2.9255175957334495E-5</c:v>
                </c:pt>
                <c:pt idx="1">
                  <c:v>7.5417191865757025E-3</c:v>
                </c:pt>
                <c:pt idx="2">
                  <c:v>8.395339529000273E-2</c:v>
                </c:pt>
                <c:pt idx="3">
                  <c:v>9.6390444656267629E-2</c:v>
                </c:pt>
                <c:pt idx="4">
                  <c:v>2.0602955616289428E-2</c:v>
                </c:pt>
                <c:pt idx="5">
                  <c:v>1.2405610740797639E-3</c:v>
                </c:pt>
                <c:pt idx="6">
                  <c:v>2.8365151114218652E-5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CA-41B1-9371-A3044CBA57A1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BS!$S$4:$Y$4</c:f>
              <c:numCache>
                <c:formatCode>General</c:formatCode>
                <c:ptCount val="7"/>
                <c:pt idx="0">
                  <c:v>2.1866060095056396E-3</c:v>
                </c:pt>
                <c:pt idx="1">
                  <c:v>3.7704069421282495E-2</c:v>
                </c:pt>
                <c:pt idx="2">
                  <c:v>0.13403118193264935</c:v>
                </c:pt>
                <c:pt idx="3">
                  <c:v>0.15204745396158825</c:v>
                </c:pt>
                <c:pt idx="4">
                  <c:v>7.4036655591120604E-2</c:v>
                </c:pt>
                <c:pt idx="5">
                  <c:v>1.9051625778957797E-2</c:v>
                </c:pt>
                <c:pt idx="6">
                  <c:v>3.0100039033497459E-3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CA-41B1-9371-A3044CBA57A1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BS!$S$5:$Y$5</c:f>
              <c:numCache>
                <c:formatCode>General</c:formatCode>
                <c:ptCount val="7"/>
                <c:pt idx="0">
                  <c:v>1.001623907816167E-2</c:v>
                </c:pt>
                <c:pt idx="1">
                  <c:v>7.0108776249596716E-2</c:v>
                </c:pt>
                <c:pt idx="2">
                  <c:v>0.17034912694769427</c:v>
                </c:pt>
                <c:pt idx="3">
                  <c:v>0.19247415087469649</c:v>
                </c:pt>
                <c:pt idx="4">
                  <c:v>0.12331921498930491</c:v>
                </c:pt>
                <c:pt idx="5">
                  <c:v>5.1496954239281245E-2</c:v>
                </c:pt>
                <c:pt idx="6">
                  <c:v>1.549670081304284E-2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CA-41B1-9371-A3044CBA57A1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BS!$S$6:$Y$6</c:f>
              <c:numCache>
                <c:formatCode>General</c:formatCode>
                <c:ptCount val="7"/>
                <c:pt idx="0">
                  <c:v>2.2311125976043712E-2</c:v>
                </c:pt>
                <c:pt idx="1">
                  <c:v>9.9497965474876257E-2</c:v>
                </c:pt>
                <c:pt idx="2">
                  <c:v>0.19987417228770799</c:v>
                </c:pt>
                <c:pt idx="3">
                  <c:v>0.22538176530328408</c:v>
                </c:pt>
                <c:pt idx="4">
                  <c:v>0.16564276248937065</c:v>
                </c:pt>
                <c:pt idx="5">
                  <c:v>8.8116254407353795E-2</c:v>
                </c:pt>
                <c:pt idx="6">
                  <c:v>3.6595280219312472E-2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CA-41B1-9371-A3044CBA57A1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BS!$S$7:$Y$7</c:f>
              <c:numCache>
                <c:formatCode>General</c:formatCode>
                <c:ptCount val="7"/>
                <c:pt idx="0">
                  <c:v>3.6923894533735589E-2</c:v>
                </c:pt>
                <c:pt idx="1">
                  <c:v>0.1256421092021314</c:v>
                </c:pt>
                <c:pt idx="2">
                  <c:v>0.22516592476398131</c:v>
                </c:pt>
                <c:pt idx="3">
                  <c:v>0.25359607304946929</c:v>
                </c:pt>
                <c:pt idx="4">
                  <c:v>0.20237339735353066</c:v>
                </c:pt>
                <c:pt idx="5">
                  <c:v>0.12448489247973851</c:v>
                </c:pt>
                <c:pt idx="6">
                  <c:v>6.2723820582892206E-2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CA-41B1-9371-A3044CBA57A1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BS!$S$8:$Y$8</c:f>
              <c:numCache>
                <c:formatCode>General</c:formatCode>
                <c:ptCount val="7"/>
                <c:pt idx="0">
                  <c:v>5.2447031996054688E-2</c:v>
                </c:pt>
                <c:pt idx="1">
                  <c:v>0.14901796762288935</c:v>
                </c:pt>
                <c:pt idx="2">
                  <c:v>0.24748909417775469</c:v>
                </c:pt>
                <c:pt idx="3">
                  <c:v>0.27851446883194053</c:v>
                </c:pt>
                <c:pt idx="4">
                  <c:v>0.23479930106427191</c:v>
                </c:pt>
                <c:pt idx="5">
                  <c:v>0.15911573684407304</c:v>
                </c:pt>
                <c:pt idx="6">
                  <c:v>9.1199724690785355E-2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CA-41B1-9371-A3044CBA57A1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BS!$S$9:$Y$9</c:f>
              <c:numCache>
                <c:formatCode>General</c:formatCode>
                <c:ptCount val="7"/>
                <c:pt idx="0">
                  <c:v>6.8101278484268168E-2</c:v>
                </c:pt>
                <c:pt idx="1">
                  <c:v>0.17011290957997102</c:v>
                </c:pt>
                <c:pt idx="2">
                  <c:v>0.26757623979975337</c:v>
                </c:pt>
                <c:pt idx="3">
                  <c:v>0.30094737223806439</c:v>
                </c:pt>
                <c:pt idx="4">
                  <c:v>0.26385591618269605</c:v>
                </c:pt>
                <c:pt idx="5">
                  <c:v>0.19161129475880395</c:v>
                </c:pt>
                <c:pt idx="6">
                  <c:v>0.12041377400607207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CA-41B1-9371-A3044CBA57A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620503760"/>
        <c:axId val="620506640"/>
        <c:axId val="573176672"/>
      </c:surface3DChart>
      <c:catAx>
        <c:axId val="6205037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506640"/>
        <c:crosses val="autoZero"/>
        <c:auto val="1"/>
        <c:lblAlgn val="ctr"/>
        <c:lblOffset val="100"/>
        <c:noMultiLvlLbl val="0"/>
      </c:catAx>
      <c:valAx>
        <c:axId val="62050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503760"/>
        <c:crosses val="autoZero"/>
        <c:crossBetween val="midCat"/>
      </c:valAx>
      <c:serAx>
        <c:axId val="5731766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506640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600074</xdr:colOff>
      <xdr:row>0</xdr:row>
      <xdr:rowOff>23812</xdr:rowOff>
    </xdr:from>
    <xdr:to>
      <xdr:col>16</xdr:col>
      <xdr:colOff>28575</xdr:colOff>
      <xdr:row>9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60A8AC-89FC-1139-527E-B58932F13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604837</xdr:colOff>
      <xdr:row>9</xdr:row>
      <xdr:rowOff>42862</xdr:rowOff>
    </xdr:from>
    <xdr:to>
      <xdr:col>16</xdr:col>
      <xdr:colOff>28575</xdr:colOff>
      <xdr:row>21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CDC121-D155-B831-C8BF-06F3FFE9B5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604837</xdr:colOff>
      <xdr:row>9</xdr:row>
      <xdr:rowOff>133350</xdr:rowOff>
    </xdr:from>
    <xdr:to>
      <xdr:col>23</xdr:col>
      <xdr:colOff>19050</xdr:colOff>
      <xdr:row>21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1F04DFB-3EC6-3D31-16B0-94849B6837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19050</xdr:colOff>
      <xdr:row>0</xdr:row>
      <xdr:rowOff>19050</xdr:rowOff>
    </xdr:from>
    <xdr:to>
      <xdr:col>23</xdr:col>
      <xdr:colOff>38100</xdr:colOff>
      <xdr:row>9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F8C2ACF-7A41-E21E-F9EA-5043B2DF4D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87CD0-E718-4DC5-B4EE-9B71F8BD5835}">
  <sheetPr codeName="Sheet1"/>
  <dimension ref="A1:Y1048576"/>
  <sheetViews>
    <sheetView tabSelected="1" workbookViewId="0">
      <selection activeCell="T24" sqref="T24"/>
    </sheetView>
  </sheetViews>
  <sheetFormatPr defaultRowHeight="15" x14ac:dyDescent="0.25"/>
  <cols>
    <col min="1" max="1" width="9.140625" style="1"/>
    <col min="2" max="2" width="16.7109375" style="1" customWidth="1"/>
    <col min="3" max="3" width="12.7109375" style="1" customWidth="1"/>
    <col min="4" max="4" width="9.140625" style="1"/>
    <col min="5" max="5" width="16.7109375" style="1" customWidth="1"/>
    <col min="6" max="6" width="12.7109375" style="1" customWidth="1"/>
    <col min="7" max="16384" width="9.140625" style="1"/>
  </cols>
  <sheetData>
    <row r="1" spans="1:25" s="8" customFormat="1" ht="51.75" customHeight="1" x14ac:dyDescent="0.25">
      <c r="A1" s="3" t="s">
        <v>12</v>
      </c>
      <c r="B1" s="1"/>
      <c r="C1" s="1"/>
      <c r="D1" s="1"/>
      <c r="E1" s="1"/>
      <c r="F1" s="1"/>
      <c r="G1" s="1"/>
    </row>
    <row r="2" spans="1:25" s="8" customFormat="1" x14ac:dyDescent="0.25">
      <c r="A2" s="1"/>
      <c r="B2" s="2" t="s">
        <v>0</v>
      </c>
      <c r="C2" s="4">
        <v>100</v>
      </c>
      <c r="D2" s="1"/>
      <c r="E2" s="2" t="s">
        <v>7</v>
      </c>
      <c r="F2" s="6" cm="1">
        <f t="array" ref="F2">OptionPrice(C2,C3,C4,C5,C6,C7,C8)</f>
        <v>1.1657814077203739</v>
      </c>
      <c r="G2" s="1"/>
      <c r="I2" s="8">
        <f>F3</f>
        <v>0.27412610699581996</v>
      </c>
      <c r="J2" s="8">
        <v>75</v>
      </c>
      <c r="K2" s="8">
        <v>85</v>
      </c>
      <c r="L2" s="8">
        <v>95</v>
      </c>
      <c r="M2" s="8">
        <v>105</v>
      </c>
      <c r="N2" s="8">
        <v>115</v>
      </c>
      <c r="O2" s="8">
        <v>125</v>
      </c>
      <c r="P2" s="8">
        <v>135</v>
      </c>
      <c r="R2" s="8">
        <f>F6</f>
        <v>9.5431206075248007E-2</v>
      </c>
      <c r="S2" s="8">
        <v>75</v>
      </c>
      <c r="T2" s="8">
        <v>85</v>
      </c>
      <c r="U2" s="8">
        <v>95</v>
      </c>
      <c r="V2" s="8">
        <v>105</v>
      </c>
      <c r="W2" s="8">
        <v>115</v>
      </c>
      <c r="X2" s="8">
        <v>125</v>
      </c>
      <c r="Y2" s="8">
        <v>135</v>
      </c>
    </row>
    <row r="3" spans="1:25" s="8" customFormat="1" x14ac:dyDescent="0.25">
      <c r="A3" s="1"/>
      <c r="B3" s="2" t="s">
        <v>1</v>
      </c>
      <c r="C3" s="4">
        <v>105</v>
      </c>
      <c r="D3" s="1"/>
      <c r="E3" s="2" t="s">
        <v>8</v>
      </c>
      <c r="F3" s="6" cm="1">
        <f t="array" ref="F3">BSDelta(C2,C3,C4,C5,C6,C7,C8)</f>
        <v>0.27412610699581996</v>
      </c>
      <c r="G3" s="1"/>
      <c r="I3" s="8">
        <v>8.3333333333333329E-2</v>
      </c>
      <c r="J3" s="9">
        <f t="dataTable" ref="J3:P9" dt2D="1" dtr="1" r1="C3" r2="C7"/>
        <v>0.99831110369858356</v>
      </c>
      <c r="K3" s="9">
        <v>0.98855842274730443</v>
      </c>
      <c r="L3" s="9">
        <v>0.78480581875653377</v>
      </c>
      <c r="M3" s="9">
        <v>0.27586815482239363</v>
      </c>
      <c r="N3" s="9">
        <v>3.1793243810101492E-2</v>
      </c>
      <c r="O3" s="9">
        <v>1.3053718840603011E-3</v>
      </c>
      <c r="P3" s="9">
        <v>2.2860650191011421E-5</v>
      </c>
      <c r="R3" s="8">
        <v>8.3333333333333329E-2</v>
      </c>
      <c r="S3" s="9">
        <f t="dataTable" ref="S3:Y9" dt2D="1" dtr="1" r1="C3" r2="C7" ca="1"/>
        <v>2.9255175957334495E-5</v>
      </c>
      <c r="T3" s="9">
        <v>7.5417191865757025E-3</v>
      </c>
      <c r="U3" s="9">
        <v>8.395339529000273E-2</v>
      </c>
      <c r="V3" s="9">
        <v>9.6390444656267629E-2</v>
      </c>
      <c r="W3" s="9">
        <v>2.0602955616289428E-2</v>
      </c>
      <c r="X3" s="9">
        <v>1.2405610740797639E-3</v>
      </c>
      <c r="Y3" s="9">
        <v>2.8365151114218652E-5</v>
      </c>
    </row>
    <row r="4" spans="1:25" s="8" customFormat="1" x14ac:dyDescent="0.25">
      <c r="A4" s="1"/>
      <c r="B4" s="2" t="s">
        <v>2</v>
      </c>
      <c r="C4" s="5">
        <v>0.06</v>
      </c>
      <c r="D4" s="1"/>
      <c r="E4" s="2" t="s">
        <v>9</v>
      </c>
      <c r="F4" s="6" cm="1">
        <f t="array" ref="F4">BSGamma(C2,C3,C4,C5,C6,C7)</f>
        <v>4.644318695662069E-2</v>
      </c>
      <c r="G4" s="1"/>
      <c r="I4" s="8">
        <v>0.16666666666666666</v>
      </c>
      <c r="J4" s="9">
        <v>0.99501028409055814</v>
      </c>
      <c r="K4" s="9">
        <v>0.95306497211383701</v>
      </c>
      <c r="L4" s="9">
        <v>0.72957959664593475</v>
      </c>
      <c r="M4" s="9">
        <v>0.3575966529679746</v>
      </c>
      <c r="N4" s="9">
        <v>0.10474746913843055</v>
      </c>
      <c r="O4" s="9">
        <v>1.9162163789031985E-2</v>
      </c>
      <c r="P4" s="9">
        <v>2.3630725653247899E-3</v>
      </c>
      <c r="R4" s="8">
        <v>0.16666666666666666</v>
      </c>
      <c r="S4" s="9">
        <v>2.1866060095056396E-3</v>
      </c>
      <c r="T4" s="9">
        <v>3.7704069421282495E-2</v>
      </c>
      <c r="U4" s="9">
        <v>0.13403118193264935</v>
      </c>
      <c r="V4" s="9">
        <v>0.15204745396158825</v>
      </c>
      <c r="W4" s="9">
        <v>7.4036655591120604E-2</v>
      </c>
      <c r="X4" s="9">
        <v>1.9051625778957797E-2</v>
      </c>
      <c r="Y4" s="9">
        <v>3.0100039033497459E-3</v>
      </c>
    </row>
    <row r="5" spans="1:25" s="8" customFormat="1" x14ac:dyDescent="0.25">
      <c r="A5" s="1"/>
      <c r="B5" s="2" t="s">
        <v>3</v>
      </c>
      <c r="C5" s="5">
        <v>0.02</v>
      </c>
      <c r="D5" s="1"/>
      <c r="E5" s="2" t="s">
        <v>10</v>
      </c>
      <c r="F5" s="6" cm="1">
        <f t="array" ref="F5">BSTheta(C2,C3,C4,C5,C6,C7,C8)</f>
        <v>-6.1666878839142951E-2</v>
      </c>
      <c r="G5" s="1"/>
      <c r="I5" s="8">
        <v>0.25</v>
      </c>
      <c r="J5" s="9">
        <v>0.98778511908510791</v>
      </c>
      <c r="K5" s="9">
        <v>0.92082500242196619</v>
      </c>
      <c r="L5" s="9">
        <v>0.70627546769896665</v>
      </c>
      <c r="M5" s="9">
        <v>0.40013066845534767</v>
      </c>
      <c r="N5" s="9">
        <v>0.16381136017972198</v>
      </c>
      <c r="O5" s="9">
        <v>4.9977336766082306E-2</v>
      </c>
      <c r="P5" s="9">
        <v>1.1902674305060035E-2</v>
      </c>
      <c r="R5" s="8">
        <v>0.25</v>
      </c>
      <c r="S5" s="9">
        <v>1.001623907816167E-2</v>
      </c>
      <c r="T5" s="9">
        <v>7.0108776249596716E-2</v>
      </c>
      <c r="U5" s="9">
        <v>0.17034912694769427</v>
      </c>
      <c r="V5" s="9">
        <v>0.19247415087469649</v>
      </c>
      <c r="W5" s="9">
        <v>0.12331921498930491</v>
      </c>
      <c r="X5" s="9">
        <v>5.1496954239281245E-2</v>
      </c>
      <c r="Y5" s="9">
        <v>1.549670081304284E-2</v>
      </c>
    </row>
    <row r="6" spans="1:25" s="8" customFormat="1" x14ac:dyDescent="0.25">
      <c r="A6" s="1"/>
      <c r="B6" s="2" t="s">
        <v>4</v>
      </c>
      <c r="C6" s="5">
        <v>0.25</v>
      </c>
      <c r="D6" s="1"/>
      <c r="E6" s="2" t="s">
        <v>11</v>
      </c>
      <c r="F6" s="6" cm="1">
        <f t="array" ref="F6">BSVega(C2,C3,C4,C5,C6,C7)</f>
        <v>9.5431206075248007E-2</v>
      </c>
      <c r="G6" s="1"/>
      <c r="I6" s="8">
        <v>0.33333333333333331</v>
      </c>
      <c r="J6" s="9">
        <v>0.9779813872283255</v>
      </c>
      <c r="K6" s="9">
        <v>0.89557257557134684</v>
      </c>
      <c r="L6" s="9">
        <v>0.69379788645704943</v>
      </c>
      <c r="M6" s="9">
        <v>0.42827107972084233</v>
      </c>
      <c r="N6" s="9">
        <v>0.20936898351359434</v>
      </c>
      <c r="O6" s="9">
        <v>8.3016709951501524E-2</v>
      </c>
      <c r="P6" s="9">
        <v>2.7584653290930704E-2</v>
      </c>
      <c r="R6" s="8">
        <v>0.33333333333333331</v>
      </c>
      <c r="S6" s="9">
        <v>2.2311125976043712E-2</v>
      </c>
      <c r="T6" s="9">
        <v>9.9497965474876257E-2</v>
      </c>
      <c r="U6" s="9">
        <v>0.19987417228770799</v>
      </c>
      <c r="V6" s="9">
        <v>0.22538176530328408</v>
      </c>
      <c r="W6" s="9">
        <v>0.16564276248937065</v>
      </c>
      <c r="X6" s="9">
        <v>8.8116254407353795E-2</v>
      </c>
      <c r="Y6" s="9">
        <v>3.6595280219312472E-2</v>
      </c>
    </row>
    <row r="7" spans="1:25" s="8" customFormat="1" x14ac:dyDescent="0.25">
      <c r="A7" s="1"/>
      <c r="B7" s="2" t="s">
        <v>5</v>
      </c>
      <c r="C7" s="4">
        <f>30/365</f>
        <v>8.2191780821917804E-2</v>
      </c>
      <c r="D7" s="1"/>
      <c r="E7" s="7"/>
      <c r="F7" s="7"/>
      <c r="G7" s="1"/>
      <c r="I7" s="8">
        <v>0.41666666666666669</v>
      </c>
      <c r="J7" s="9">
        <v>0.96729474139028737</v>
      </c>
      <c r="K7" s="9">
        <v>0.87585562847204812</v>
      </c>
      <c r="L7" s="9">
        <v>0.68635923922239173</v>
      </c>
      <c r="M7" s="9">
        <v>0.44912695152185295</v>
      </c>
      <c r="N7" s="9">
        <v>0.24553120355446531</v>
      </c>
      <c r="O7" s="9">
        <v>0.11434535941518521</v>
      </c>
      <c r="P7" s="9">
        <v>4.650798280629348E-2</v>
      </c>
      <c r="R7" s="8">
        <v>0.41666666666666669</v>
      </c>
      <c r="S7" s="9">
        <v>3.6923894533735589E-2</v>
      </c>
      <c r="T7" s="9">
        <v>0.1256421092021314</v>
      </c>
      <c r="U7" s="9">
        <v>0.22516592476398131</v>
      </c>
      <c r="V7" s="9">
        <v>0.25359607304946929</v>
      </c>
      <c r="W7" s="9">
        <v>0.20237339735353066</v>
      </c>
      <c r="X7" s="9">
        <v>0.12448489247973851</v>
      </c>
      <c r="Y7" s="9">
        <v>6.2723820582892206E-2</v>
      </c>
    </row>
    <row r="8" spans="1:25" s="8" customFormat="1" x14ac:dyDescent="0.25">
      <c r="A8" s="1"/>
      <c r="B8" s="2" t="s">
        <v>6</v>
      </c>
      <c r="C8" s="4" t="s">
        <v>13</v>
      </c>
      <c r="D8" s="1"/>
      <c r="E8" s="1"/>
      <c r="F8" s="1"/>
      <c r="G8" s="1"/>
      <c r="I8" s="8">
        <v>0.5</v>
      </c>
      <c r="J8" s="9">
        <v>0.95667800499896471</v>
      </c>
      <c r="K8" s="9">
        <v>0.8601836919994218</v>
      </c>
      <c r="L8" s="9">
        <v>0.68167769333225969</v>
      </c>
      <c r="M8" s="9">
        <v>0.46563711631275606</v>
      </c>
      <c r="N8" s="9">
        <v>0.27513612342033783</v>
      </c>
      <c r="O8" s="9">
        <v>0.14296154267774872</v>
      </c>
      <c r="P8" s="9">
        <v>6.6641112633352734E-2</v>
      </c>
      <c r="R8" s="8">
        <v>0.5</v>
      </c>
      <c r="S8" s="9">
        <v>5.2447031996054688E-2</v>
      </c>
      <c r="T8" s="9">
        <v>0.14901796762288935</v>
      </c>
      <c r="U8" s="9">
        <v>0.24748909417775469</v>
      </c>
      <c r="V8" s="9">
        <v>0.27851446883194053</v>
      </c>
      <c r="W8" s="9">
        <v>0.23479930106427191</v>
      </c>
      <c r="X8" s="9">
        <v>0.15911573684407304</v>
      </c>
      <c r="Y8" s="9">
        <v>9.1199724690785355E-2</v>
      </c>
    </row>
    <row r="9" spans="1:25" s="8" customFormat="1" x14ac:dyDescent="0.25">
      <c r="A9" s="1"/>
      <c r="B9" s="1"/>
      <c r="C9" s="1"/>
      <c r="D9" s="1"/>
      <c r="E9" s="1"/>
      <c r="F9" s="1"/>
      <c r="G9" s="1"/>
      <c r="I9" s="8">
        <v>0.58333333333333337</v>
      </c>
      <c r="J9" s="9">
        <v>0.94656783566277902</v>
      </c>
      <c r="K9" s="9">
        <v>0.84747972606344679</v>
      </c>
      <c r="L9" s="9">
        <v>0.67866119382120904</v>
      </c>
      <c r="M9" s="9">
        <v>0.47927814613785269</v>
      </c>
      <c r="N9" s="9">
        <v>0.30000304433401498</v>
      </c>
      <c r="O9" s="9">
        <v>0.16882568726241617</v>
      </c>
      <c r="P9" s="9">
        <v>8.6842041874645962E-2</v>
      </c>
      <c r="R9" s="8">
        <v>0.58333333333333337</v>
      </c>
      <c r="S9" s="9">
        <v>6.8101278484268168E-2</v>
      </c>
      <c r="T9" s="9">
        <v>0.17011290957997102</v>
      </c>
      <c r="U9" s="9">
        <v>0.26757623979975337</v>
      </c>
      <c r="V9" s="9">
        <v>0.30094737223806439</v>
      </c>
      <c r="W9" s="9">
        <v>0.26385591618269605</v>
      </c>
      <c r="X9" s="9">
        <v>0.19161129475880395</v>
      </c>
      <c r="Y9" s="9">
        <v>0.12041377400607207</v>
      </c>
    </row>
    <row r="10" spans="1:25" s="8" customFormat="1" x14ac:dyDescent="0.25">
      <c r="A10" s="1"/>
      <c r="B10" s="1"/>
      <c r="C10" s="1"/>
      <c r="D10" s="1"/>
      <c r="E10" s="1"/>
      <c r="F10" s="1"/>
      <c r="G10" s="1"/>
    </row>
    <row r="11" spans="1:25" s="8" customFormat="1" x14ac:dyDescent="0.25">
      <c r="A11" s="1" t="s">
        <v>15</v>
      </c>
      <c r="B11" s="1"/>
      <c r="C11" s="1"/>
      <c r="D11" s="1"/>
      <c r="E11" s="1"/>
      <c r="F11" s="1"/>
      <c r="G11" s="1"/>
    </row>
    <row r="12" spans="1:25" s="8" customFormat="1" x14ac:dyDescent="0.25">
      <c r="A12" s="1"/>
      <c r="B12" s="1"/>
      <c r="C12" s="1"/>
      <c r="D12" s="1"/>
      <c r="E12" s="1"/>
      <c r="F12" s="1"/>
      <c r="G12" s="1"/>
      <c r="I12" s="8">
        <f>F4</f>
        <v>4.644318695662069E-2</v>
      </c>
      <c r="J12" s="8">
        <v>75</v>
      </c>
      <c r="K12" s="8">
        <v>85</v>
      </c>
      <c r="L12" s="8">
        <v>95</v>
      </c>
      <c r="M12" s="8">
        <v>105</v>
      </c>
      <c r="N12" s="8">
        <v>115</v>
      </c>
      <c r="O12" s="8">
        <v>125</v>
      </c>
      <c r="P12" s="8">
        <v>135</v>
      </c>
    </row>
    <row r="13" spans="1:25" s="8" customFormat="1" x14ac:dyDescent="0.25">
      <c r="A13" s="1"/>
      <c r="B13" s="1"/>
      <c r="C13" s="1"/>
      <c r="D13" s="1"/>
      <c r="E13" s="1"/>
      <c r="F13" s="1"/>
      <c r="G13" s="1"/>
      <c r="I13" s="8">
        <v>8.3333333333333329E-2</v>
      </c>
      <c r="J13" s="9">
        <f t="dataTable" ref="J13:P19" dt2D="1" dtr="1" r1="C3" r2="C7" ca="1"/>
        <v>1.4042484459520557E-5</v>
      </c>
      <c r="K13" s="9">
        <v>3.6200252095563369E-3</v>
      </c>
      <c r="L13" s="9">
        <v>4.0297629739201306E-2</v>
      </c>
      <c r="M13" s="9">
        <v>4.626741343500846E-2</v>
      </c>
      <c r="N13" s="9">
        <v>9.8894186958189256E-3</v>
      </c>
      <c r="O13" s="9">
        <v>5.9546931555828659E-4</v>
      </c>
      <c r="P13" s="9">
        <v>1.3615272534824951E-5</v>
      </c>
    </row>
    <row r="14" spans="1:25" s="8" customFormat="1" x14ac:dyDescent="0.25">
      <c r="A14" s="1"/>
      <c r="B14" s="1"/>
      <c r="C14" s="1"/>
      <c r="D14" s="1"/>
      <c r="E14" s="1"/>
      <c r="F14" s="1"/>
      <c r="G14" s="1"/>
      <c r="I14" s="8">
        <v>0.16666666666666666</v>
      </c>
      <c r="J14" s="9">
        <v>5.2478544228135352E-4</v>
      </c>
      <c r="K14" s="9">
        <v>9.048976661107799E-3</v>
      </c>
      <c r="L14" s="9">
        <v>3.2167483663835844E-2</v>
      </c>
      <c r="M14" s="9">
        <v>3.6491388950781183E-2</v>
      </c>
      <c r="N14" s="9">
        <v>1.7768797341868949E-2</v>
      </c>
      <c r="O14" s="9">
        <v>4.5723901869498722E-3</v>
      </c>
      <c r="P14" s="9">
        <v>7.224009368039391E-4</v>
      </c>
    </row>
    <row r="15" spans="1:25" s="8" customFormat="1" x14ac:dyDescent="0.25">
      <c r="A15" s="1"/>
      <c r="B15" s="1"/>
      <c r="C15" s="1"/>
      <c r="D15" s="1"/>
      <c r="E15" s="1"/>
      <c r="F15" s="1"/>
      <c r="G15" s="1"/>
      <c r="I15" s="8">
        <v>0.25</v>
      </c>
      <c r="J15" s="9">
        <v>1.6025982525058671E-3</v>
      </c>
      <c r="K15" s="9">
        <v>1.1217404199935475E-2</v>
      </c>
      <c r="L15" s="9">
        <v>2.7255860311631089E-2</v>
      </c>
      <c r="M15" s="9">
        <v>3.0795864139951439E-2</v>
      </c>
      <c r="N15" s="9">
        <v>1.9731074398288785E-2</v>
      </c>
      <c r="O15" s="9">
        <v>8.2395126782850003E-3</v>
      </c>
      <c r="P15" s="9">
        <v>2.4794721300868544E-3</v>
      </c>
    </row>
    <row r="16" spans="1:25" s="8" customFormat="1" x14ac:dyDescent="0.25">
      <c r="A16" s="1"/>
      <c r="B16" s="1"/>
      <c r="C16" s="1"/>
      <c r="D16" s="1"/>
      <c r="E16" s="1"/>
      <c r="F16" s="1"/>
      <c r="G16" s="1"/>
      <c r="I16" s="8">
        <v>0.33333333333333331</v>
      </c>
      <c r="J16" s="9">
        <v>2.6773351171252456E-3</v>
      </c>
      <c r="K16" s="9">
        <v>1.1939755856985153E-2</v>
      </c>
      <c r="L16" s="9">
        <v>2.3984900674524964E-2</v>
      </c>
      <c r="M16" s="9">
        <v>2.7045811836394092E-2</v>
      </c>
      <c r="N16" s="9">
        <v>1.9877131498724481E-2</v>
      </c>
      <c r="O16" s="9">
        <v>1.0573950528882457E-2</v>
      </c>
      <c r="P16" s="9">
        <v>4.3914336263174971E-3</v>
      </c>
    </row>
    <row r="17" spans="1:16" s="8" customFormat="1" x14ac:dyDescent="0.25">
      <c r="A17" s="1"/>
      <c r="B17" s="1"/>
      <c r="C17" s="1"/>
      <c r="D17" s="1"/>
      <c r="E17" s="1"/>
      <c r="F17" s="1"/>
      <c r="G17" s="1"/>
      <c r="I17" s="8">
        <v>0.41666666666666669</v>
      </c>
      <c r="J17" s="9">
        <v>3.5446938752386166E-3</v>
      </c>
      <c r="K17" s="9">
        <v>1.2061642483404616E-2</v>
      </c>
      <c r="L17" s="9">
        <v>2.1615928777342207E-2</v>
      </c>
      <c r="M17" s="9">
        <v>2.4345223012749058E-2</v>
      </c>
      <c r="N17" s="9">
        <v>1.9427846145938947E-2</v>
      </c>
      <c r="O17" s="9">
        <v>1.1950549678054898E-2</v>
      </c>
      <c r="P17" s="9">
        <v>6.0214867759576527E-3</v>
      </c>
    </row>
    <row r="18" spans="1:16" s="8" customFormat="1" x14ac:dyDescent="0.25">
      <c r="A18" s="1"/>
      <c r="B18" s="1"/>
      <c r="C18" s="1"/>
      <c r="D18" s="1"/>
      <c r="E18" s="1"/>
      <c r="F18" s="1"/>
      <c r="G18" s="1"/>
      <c r="I18" s="8">
        <v>0.5</v>
      </c>
      <c r="J18" s="9">
        <v>4.1957625596843748E-3</v>
      </c>
      <c r="K18" s="9">
        <v>1.1921437409831148E-2</v>
      </c>
      <c r="L18" s="9">
        <v>1.9799127534220372E-2</v>
      </c>
      <c r="M18" s="9">
        <v>2.2281157506555242E-2</v>
      </c>
      <c r="N18" s="9">
        <v>1.8783944085141752E-2</v>
      </c>
      <c r="O18" s="9">
        <v>1.2729258947525843E-2</v>
      </c>
      <c r="P18" s="9">
        <v>7.2959779752628275E-3</v>
      </c>
    </row>
    <row r="19" spans="1:16" s="8" customFormat="1" x14ac:dyDescent="0.25">
      <c r="A19" s="1"/>
      <c r="B19" s="1"/>
      <c r="C19" s="1"/>
      <c r="D19" s="1"/>
      <c r="E19" s="1"/>
      <c r="F19" s="1"/>
      <c r="G19" s="1"/>
      <c r="I19" s="8">
        <v>0.58333333333333337</v>
      </c>
      <c r="J19" s="9">
        <v>4.6698019532069599E-3</v>
      </c>
      <c r="K19" s="9">
        <v>1.166488522834087E-2</v>
      </c>
      <c r="L19" s="9">
        <v>1.834808501484023E-2</v>
      </c>
      <c r="M19" s="9">
        <v>2.0636391239181557E-2</v>
      </c>
      <c r="N19" s="9">
        <v>1.8092977109670585E-2</v>
      </c>
      <c r="O19" s="9">
        <v>1.3139060212032269E-2</v>
      </c>
      <c r="P19" s="9">
        <v>8.2569445032735136E-3</v>
      </c>
    </row>
    <row r="20" spans="1:16" s="8" customFormat="1" x14ac:dyDescent="0.25">
      <c r="A20" s="1"/>
      <c r="B20" s="1"/>
      <c r="C20" s="1"/>
      <c r="D20" s="1"/>
      <c r="E20" s="1"/>
      <c r="F20" s="1"/>
      <c r="G20" s="1"/>
    </row>
    <row r="21" spans="1:16" s="8" customFormat="1" x14ac:dyDescent="0.25">
      <c r="A21" s="1"/>
      <c r="B21" s="1"/>
      <c r="C21" s="1"/>
      <c r="D21" s="1"/>
      <c r="E21" s="1"/>
      <c r="F21" s="1"/>
      <c r="G21" s="1"/>
    </row>
    <row r="22" spans="1:16" s="8" customFormat="1" x14ac:dyDescent="0.25">
      <c r="A22" s="1"/>
      <c r="B22" s="1"/>
      <c r="C22" s="1"/>
      <c r="D22" s="1"/>
      <c r="E22" s="1"/>
      <c r="F22" s="1"/>
      <c r="G22" s="1"/>
      <c r="I22" s="8">
        <f>F5</f>
        <v>-6.1666878839142951E-2</v>
      </c>
      <c r="J22" s="8">
        <v>75</v>
      </c>
      <c r="K22" s="8">
        <v>85</v>
      </c>
      <c r="L22" s="8">
        <v>95</v>
      </c>
      <c r="M22" s="8">
        <v>105</v>
      </c>
      <c r="N22" s="8">
        <v>115</v>
      </c>
      <c r="O22" s="8">
        <v>125</v>
      </c>
      <c r="P22" s="8">
        <v>135</v>
      </c>
    </row>
    <row r="23" spans="1:16" s="8" customFormat="1" x14ac:dyDescent="0.25">
      <c r="A23" s="1"/>
      <c r="B23" s="1"/>
      <c r="C23" s="1"/>
      <c r="D23" s="1"/>
      <c r="E23" s="1"/>
      <c r="F23" s="1"/>
      <c r="G23" s="1"/>
      <c r="I23" s="8">
        <v>8.3333333333333329E-2</v>
      </c>
      <c r="J23" s="8">
        <f t="dataTable" ref="J23:P29" dt2D="1" dtr="1" r1="C3" r2="C7" ca="1"/>
        <v>-9.86181828699478E-3</v>
      </c>
      <c r="K23" s="8">
        <v>-1.6541994833247444E-2</v>
      </c>
      <c r="L23" s="8">
        <v>-6.094959851283982E-2</v>
      </c>
      <c r="M23" s="8">
        <v>-6.1472340183048764E-2</v>
      </c>
      <c r="N23" s="8">
        <v>-1.2747516074190328E-2</v>
      </c>
      <c r="O23" s="8">
        <v>-7.585278577647228E-4</v>
      </c>
      <c r="P23" s="8">
        <v>-1.7238293531352938E-5</v>
      </c>
    </row>
    <row r="24" spans="1:16" s="8" customFormat="1" x14ac:dyDescent="0.25">
      <c r="A24" s="1"/>
      <c r="B24" s="1"/>
      <c r="C24" s="1"/>
      <c r="D24" s="1"/>
      <c r="E24" s="1"/>
      <c r="F24" s="1"/>
      <c r="G24" s="1"/>
      <c r="I24" s="8">
        <v>0.16666666666666666</v>
      </c>
      <c r="J24" s="8">
        <v>-1.0392565100588679E-2</v>
      </c>
      <c r="K24" s="8">
        <v>-2.2610850719344766E-2</v>
      </c>
      <c r="L24" s="8">
        <v>-4.9716866290726976E-2</v>
      </c>
      <c r="M24" s="8">
        <v>-5.0369485389497828E-2</v>
      </c>
      <c r="N24" s="8">
        <v>-2.3580641907029971E-2</v>
      </c>
      <c r="O24" s="8">
        <v>-5.9578364477650882E-3</v>
      </c>
      <c r="P24" s="8">
        <v>-9.316905518502828E-4</v>
      </c>
    </row>
    <row r="25" spans="1:16" s="8" customFormat="1" x14ac:dyDescent="0.25">
      <c r="A25" s="1"/>
      <c r="B25" s="1"/>
      <c r="C25" s="1"/>
      <c r="D25" s="1"/>
      <c r="E25" s="1"/>
      <c r="F25" s="1"/>
      <c r="G25" s="1"/>
      <c r="I25" s="8">
        <v>0.25</v>
      </c>
      <c r="J25" s="8">
        <v>-1.155966106852402E-2</v>
      </c>
      <c r="K25" s="8">
        <v>-2.4668852017392377E-2</v>
      </c>
      <c r="L25" s="8">
        <v>-4.3025576280561521E-2</v>
      </c>
      <c r="M25" s="8">
        <v>-4.374769559900589E-2</v>
      </c>
      <c r="N25" s="8">
        <v>-2.6823871479618889E-2</v>
      </c>
      <c r="O25" s="8">
        <v>-1.0951532942051746E-2</v>
      </c>
      <c r="P25" s="8">
        <v>-3.2519008254526661E-3</v>
      </c>
    </row>
    <row r="26" spans="1:16" s="8" customFormat="1" x14ac:dyDescent="0.25">
      <c r="A26" s="1"/>
      <c r="B26" s="1"/>
      <c r="C26" s="1"/>
      <c r="D26" s="1"/>
      <c r="E26" s="1"/>
      <c r="F26" s="1"/>
      <c r="G26" s="1"/>
      <c r="I26" s="8">
        <v>0.33333333333333331</v>
      </c>
      <c r="J26" s="8">
        <v>-1.2676118551404729E-2</v>
      </c>
      <c r="K26" s="8">
        <v>-2.5039108807340178E-2</v>
      </c>
      <c r="L26" s="8">
        <v>-3.8567943262479684E-2</v>
      </c>
      <c r="M26" s="8">
        <v>-3.9336945077610569E-2</v>
      </c>
      <c r="N26" s="8">
        <v>-2.7591521141395372E-2</v>
      </c>
      <c r="O26" s="8">
        <v>-1.4307089384455287E-2</v>
      </c>
      <c r="P26" s="8">
        <v>-5.848993439768504E-3</v>
      </c>
    </row>
    <row r="27" spans="1:16" s="8" customFormat="1" x14ac:dyDescent="0.25">
      <c r="A27" s="1"/>
      <c r="B27" s="1"/>
      <c r="C27" s="1"/>
      <c r="D27" s="1"/>
      <c r="E27" s="1"/>
      <c r="F27" s="1"/>
      <c r="G27" s="1"/>
      <c r="I27" s="8">
        <v>0.41666666666666669</v>
      </c>
      <c r="J27" s="8">
        <v>-1.351647977221275E-2</v>
      </c>
      <c r="K27" s="8">
        <v>-2.4752647233111259E-2</v>
      </c>
      <c r="L27" s="8">
        <v>-3.5327801064087505E-2</v>
      </c>
      <c r="M27" s="8">
        <v>-3.6130756826192385E-2</v>
      </c>
      <c r="N27" s="8">
        <v>-2.7470502628736352E-2</v>
      </c>
      <c r="O27" s="8">
        <v>-1.6434199190889991E-2</v>
      </c>
      <c r="P27" s="8">
        <v>-8.1356227015269931E-3</v>
      </c>
    </row>
    <row r="28" spans="1:16" s="8" customFormat="1" x14ac:dyDescent="0.25">
      <c r="A28" s="1"/>
      <c r="B28" s="1"/>
      <c r="C28" s="1"/>
      <c r="D28" s="1"/>
      <c r="E28" s="1"/>
      <c r="F28" s="1"/>
      <c r="G28" s="1"/>
      <c r="I28" s="8">
        <v>0.5</v>
      </c>
      <c r="J28" s="8">
        <v>-1.4086228477959947E-2</v>
      </c>
      <c r="K28" s="8">
        <v>-2.4207557215666566E-2</v>
      </c>
      <c r="L28" s="8">
        <v>-3.2830363816882299E-2</v>
      </c>
      <c r="M28" s="8">
        <v>-3.3658986872902474E-2</v>
      </c>
      <c r="N28" s="8">
        <v>-2.7005656907201785E-2</v>
      </c>
      <c r="O28" s="8">
        <v>-1.7768318896893013E-2</v>
      </c>
      <c r="P28" s="8">
        <v>-9.9901741125856865E-3</v>
      </c>
    </row>
    <row r="29" spans="1:16" s="8" customFormat="1" x14ac:dyDescent="0.25">
      <c r="A29" s="1"/>
      <c r="B29" s="1"/>
      <c r="C29" s="1"/>
      <c r="D29" s="1"/>
      <c r="E29" s="1"/>
      <c r="F29" s="1"/>
      <c r="G29" s="1"/>
      <c r="I29" s="8">
        <v>0.58333333333333337</v>
      </c>
      <c r="J29" s="8">
        <v>-1.4442198298524734E-2</v>
      </c>
      <c r="K29" s="8">
        <v>-2.3568302317486561E-2</v>
      </c>
      <c r="L29" s="8">
        <v>-3.0824107422299764E-2</v>
      </c>
      <c r="M29" s="8">
        <v>-3.1672707838844578E-2</v>
      </c>
      <c r="N29" s="8">
        <v>-2.6409946949550248E-2</v>
      </c>
      <c r="O29" s="8">
        <v>-1.8595968638936151E-2</v>
      </c>
      <c r="P29" s="8">
        <v>-1.1448750527918447E-2</v>
      </c>
    </row>
    <row r="30" spans="1:16" s="8" customFormat="1" x14ac:dyDescent="0.25">
      <c r="A30" s="1"/>
      <c r="B30" s="1"/>
      <c r="C30" s="1"/>
      <c r="D30" s="1"/>
      <c r="E30" s="1"/>
      <c r="F30" s="1"/>
      <c r="G30" s="1"/>
    </row>
    <row r="31" spans="1:16" s="8" customFormat="1" x14ac:dyDescent="0.25">
      <c r="A31" s="1"/>
      <c r="B31" s="1"/>
      <c r="C31" s="1"/>
      <c r="D31" s="1"/>
      <c r="E31" s="1"/>
      <c r="F31" s="1"/>
      <c r="G31" s="1"/>
    </row>
    <row r="1048575" spans="1:1" x14ac:dyDescent="0.25">
      <c r="A1048575" s="1" t="s">
        <v>13</v>
      </c>
    </row>
    <row r="1048576" spans="1:1" x14ac:dyDescent="0.25">
      <c r="A1048576" s="1" t="s">
        <v>14</v>
      </c>
    </row>
  </sheetData>
  <dataValidations count="1">
    <dataValidation type="list" allowBlank="1" showInputMessage="1" showErrorMessage="1" sqref="C8" xr:uid="{24E16CAC-F8E3-461F-A977-5ADD2C0E0635}">
      <formula1>$A$1048575:$A$1048576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 I Sharieff</dc:creator>
  <cp:lastModifiedBy>Mohammed I Sharieff</cp:lastModifiedBy>
  <dcterms:created xsi:type="dcterms:W3CDTF">2024-09-24T20:23:36Z</dcterms:created>
  <dcterms:modified xsi:type="dcterms:W3CDTF">2024-09-24T21:08:47Z</dcterms:modified>
</cp:coreProperties>
</file>